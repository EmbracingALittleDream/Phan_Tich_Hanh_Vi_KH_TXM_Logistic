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Số Chung" sheetId="1" r:id="rId5"/>
    <sheet state="visible" name="Phân Tích KH Mới" sheetId="2" r:id="rId6"/>
    <sheet state="visible" name="Phân Tích Rời Bỏ DV" sheetId="3" r:id="rId7"/>
  </sheets>
  <definedNames/>
  <calcPr/>
</workbook>
</file>

<file path=xl/sharedStrings.xml><?xml version="1.0" encoding="utf-8"?>
<sst xmlns="http://schemas.openxmlformats.org/spreadsheetml/2006/main" count="224" uniqueCount="50">
  <si>
    <t xml:space="preserve">Tháng </t>
  </si>
  <si>
    <t>Total</t>
  </si>
  <si>
    <t>Group Zalo</t>
  </si>
  <si>
    <t>Active</t>
  </si>
  <si>
    <t>TikTok</t>
  </si>
  <si>
    <t>At Risk</t>
  </si>
  <si>
    <t>FaceBook</t>
  </si>
  <si>
    <t>Churn</t>
  </si>
  <si>
    <t>Sale</t>
  </si>
  <si>
    <t>Google</t>
  </si>
  <si>
    <t>KH Gới Thiệu</t>
  </si>
  <si>
    <t>Không Xác Định</t>
  </si>
  <si>
    <t>New</t>
  </si>
  <si>
    <t>ACTIVE</t>
  </si>
  <si>
    <t>Một</t>
  </si>
  <si>
    <t>Existing</t>
  </si>
  <si>
    <t>AT RISK</t>
  </si>
  <si>
    <t>New Rate</t>
  </si>
  <si>
    <t>CHURN</t>
  </si>
  <si>
    <t>Existing Rate</t>
  </si>
  <si>
    <t>Channel</t>
  </si>
  <si>
    <t>Số Khách Hàng</t>
  </si>
  <si>
    <t>Hai</t>
  </si>
  <si>
    <t xml:space="preserve">Ba </t>
  </si>
  <si>
    <t>Bốn</t>
  </si>
  <si>
    <t>KH Gioi thieu</t>
  </si>
  <si>
    <t>Năm</t>
  </si>
  <si>
    <t xml:space="preserve">Khong Xac Dinh </t>
  </si>
  <si>
    <t>Khong Xac Dinh</t>
  </si>
  <si>
    <t>Sáu</t>
  </si>
  <si>
    <t>source</t>
  </si>
  <si>
    <t>Thâng 11 + 12 
Năm 2025</t>
  </si>
  <si>
    <t>Tháng 01 
Năm 2026</t>
  </si>
  <si>
    <t>Tháng 02
Năm 2026</t>
  </si>
  <si>
    <t>Tháng 03
Năm 2026</t>
  </si>
  <si>
    <t>Tháng 04
Năm 2026</t>
  </si>
  <si>
    <t>Tháng 05
Năm 2026</t>
  </si>
  <si>
    <t>Tháng 06
Năm 2026</t>
  </si>
  <si>
    <t>Nửa Tháng 7
Năm 2026</t>
  </si>
  <si>
    <t>KH Chỉ TH GD
Đúng 1 Lần</t>
  </si>
  <si>
    <t>Ba</t>
  </si>
  <si>
    <t>Bồn</t>
  </si>
  <si>
    <t xml:space="preserve">Năm </t>
  </si>
  <si>
    <t>Tháng 1</t>
  </si>
  <si>
    <t>Tháng 2</t>
  </si>
  <si>
    <t>Tháng 3</t>
  </si>
  <si>
    <t>KH Giới Thiệu</t>
  </si>
  <si>
    <t>Tháng 4</t>
  </si>
  <si>
    <t>Tháng 5</t>
  </si>
  <si>
    <t>Tháng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</si>
</sst>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0" fontId="1" numFmtId="0" xfId="0" applyFont="1"/>
    <xf borderId="1" fillId="0" fontId="1" numFmtId="10" xfId="0" applyAlignment="1" applyBorder="1" applyFont="1" applyNumberFormat="1">
      <alignment horizontal="center" vertical="center"/>
    </xf>
    <xf borderId="1" fillId="0" fontId="1" numFmtId="10" xfId="0" applyAlignment="1" applyBorder="1" applyFont="1" applyNumberFormat="1">
      <alignment horizontal="center"/>
    </xf>
    <xf borderId="1" fillId="0" fontId="1" numFmtId="0" xfId="0" applyAlignment="1" applyBorder="1" applyFont="1">
      <alignment horizontal="left" vertical="center"/>
    </xf>
    <xf borderId="1" fillId="0" fontId="1" numFmtId="0" xfId="0" applyBorder="1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6" width="12.63"/>
  </cols>
  <sheetData>
    <row r="1" ht="15.75" customHeight="1">
      <c r="A1" s="3" t="s">
        <v>0</v>
      </c>
      <c r="B1" s="3" t="s">
        <v>1</v>
      </c>
      <c r="C1" s="3" t="s">
        <v>12</v>
      </c>
      <c r="D1" s="3" t="s">
        <v>15</v>
      </c>
      <c r="E1" s="3" t="s">
        <v>17</v>
      </c>
      <c r="F1" s="3" t="s">
        <v>19</v>
      </c>
    </row>
    <row r="2" ht="15.75" customHeight="1">
      <c r="A2" s="3" t="s">
        <v>14</v>
      </c>
      <c r="B2" s="3">
        <v>330.0</v>
      </c>
      <c r="C2" s="3">
        <v>159.0</v>
      </c>
      <c r="D2" s="3">
        <f t="shared" ref="D2:D7" si="1">B2-C2</f>
        <v>171</v>
      </c>
      <c r="E2" s="6">
        <f t="shared" ref="E2:E7" si="2">(C2/B2)</f>
        <v>0.4818181818</v>
      </c>
      <c r="F2" s="6">
        <f t="shared" ref="F2:F7" si="3">(D2/B2)</f>
        <v>0.5181818182</v>
      </c>
    </row>
    <row r="3" ht="15.75" customHeight="1">
      <c r="A3" s="3" t="s">
        <v>22</v>
      </c>
      <c r="B3" s="3">
        <v>171.0</v>
      </c>
      <c r="C3" s="3">
        <v>48.0</v>
      </c>
      <c r="D3" s="3">
        <f t="shared" si="1"/>
        <v>123</v>
      </c>
      <c r="E3" s="6">
        <f t="shared" si="2"/>
        <v>0.2807017544</v>
      </c>
      <c r="F3" s="6">
        <f t="shared" si="3"/>
        <v>0.7192982456</v>
      </c>
    </row>
    <row r="4" ht="15.75" customHeight="1">
      <c r="A4" s="3" t="s">
        <v>40</v>
      </c>
      <c r="B4" s="3">
        <v>332.0</v>
      </c>
      <c r="C4" s="3">
        <v>155.0</v>
      </c>
      <c r="D4" s="3">
        <f t="shared" si="1"/>
        <v>177</v>
      </c>
      <c r="E4" s="6">
        <f t="shared" si="2"/>
        <v>0.4668674699</v>
      </c>
      <c r="F4" s="6">
        <f t="shared" si="3"/>
        <v>0.5331325301</v>
      </c>
    </row>
    <row r="5" ht="15.75" customHeight="1">
      <c r="A5" s="3" t="s">
        <v>41</v>
      </c>
      <c r="B5" s="3">
        <v>310.0</v>
      </c>
      <c r="C5" s="3">
        <v>126.0</v>
      </c>
      <c r="D5" s="3">
        <f t="shared" si="1"/>
        <v>184</v>
      </c>
      <c r="E5" s="6">
        <f t="shared" si="2"/>
        <v>0.4064516129</v>
      </c>
      <c r="F5" s="6">
        <f t="shared" si="3"/>
        <v>0.5935483871</v>
      </c>
    </row>
    <row r="6" ht="15.75" customHeight="1">
      <c r="A6" s="3" t="s">
        <v>42</v>
      </c>
      <c r="B6" s="3">
        <v>274.0</v>
      </c>
      <c r="C6" s="3">
        <v>94.0</v>
      </c>
      <c r="D6" s="3">
        <f t="shared" si="1"/>
        <v>180</v>
      </c>
      <c r="E6" s="6">
        <f t="shared" si="2"/>
        <v>0.3430656934</v>
      </c>
      <c r="F6" s="6">
        <f t="shared" si="3"/>
        <v>0.6569343066</v>
      </c>
    </row>
    <row r="7" ht="15.75" customHeight="1">
      <c r="A7" s="3" t="s">
        <v>29</v>
      </c>
      <c r="B7" s="3">
        <v>290.0</v>
      </c>
      <c r="C7" s="3">
        <v>121.0</v>
      </c>
      <c r="D7" s="3">
        <f t="shared" si="1"/>
        <v>169</v>
      </c>
      <c r="E7" s="6">
        <f t="shared" si="2"/>
        <v>0.4172413793</v>
      </c>
      <c r="F7" s="6">
        <f t="shared" si="3"/>
        <v>0.5827586207</v>
      </c>
    </row>
    <row r="8" ht="15.75" customHeight="1"/>
    <row r="9" ht="15.75" customHeight="1"/>
    <row r="10" ht="15.75" customHeight="1">
      <c r="A10" s="5" t="s">
        <v>43</v>
      </c>
      <c r="H10" s="5" t="s">
        <v>44</v>
      </c>
      <c r="O10" s="5" t="s">
        <v>45</v>
      </c>
    </row>
    <row r="11" ht="15.75" customHeight="1"/>
    <row r="12" ht="15.75" customHeight="1">
      <c r="A12" s="3" t="s">
        <v>20</v>
      </c>
      <c r="B12" s="3" t="s">
        <v>1</v>
      </c>
      <c r="C12" s="3" t="s">
        <v>12</v>
      </c>
      <c r="D12" s="3" t="s">
        <v>15</v>
      </c>
      <c r="E12" s="3" t="s">
        <v>17</v>
      </c>
      <c r="F12" s="3" t="s">
        <v>19</v>
      </c>
      <c r="H12" s="1" t="s">
        <v>20</v>
      </c>
      <c r="I12" s="1" t="s">
        <v>1</v>
      </c>
      <c r="J12" s="1" t="s">
        <v>12</v>
      </c>
      <c r="K12" s="1" t="s">
        <v>15</v>
      </c>
      <c r="L12" s="1" t="s">
        <v>17</v>
      </c>
      <c r="M12" s="1" t="s">
        <v>19</v>
      </c>
      <c r="O12" s="1" t="s">
        <v>20</v>
      </c>
      <c r="P12" s="1" t="s">
        <v>1</v>
      </c>
      <c r="Q12" s="1" t="s">
        <v>12</v>
      </c>
      <c r="R12" s="1" t="s">
        <v>15</v>
      </c>
      <c r="S12" s="1" t="s">
        <v>17</v>
      </c>
      <c r="T12" s="1" t="s">
        <v>19</v>
      </c>
    </row>
    <row r="13" ht="15.75" customHeight="1">
      <c r="A13" s="8" t="s">
        <v>2</v>
      </c>
      <c r="B13" s="3">
        <v>18.0</v>
      </c>
      <c r="C13" s="3">
        <v>7.0</v>
      </c>
      <c r="D13" s="3">
        <v>11.0</v>
      </c>
      <c r="E13" s="6">
        <f t="shared" ref="E13:E19" si="4">C13/B13</f>
        <v>0.3888888889</v>
      </c>
      <c r="F13" s="6">
        <f t="shared" ref="F13:F19" si="5">D13/B13</f>
        <v>0.6111111111</v>
      </c>
      <c r="H13" s="9" t="s">
        <v>2</v>
      </c>
      <c r="I13" s="1">
        <v>6.0</v>
      </c>
      <c r="J13" s="1">
        <v>0.0</v>
      </c>
      <c r="K13" s="1">
        <v>6.0</v>
      </c>
      <c r="L13" s="7">
        <f t="shared" ref="L13:L19" si="6">J13/I13</f>
        <v>0</v>
      </c>
      <c r="M13" s="7">
        <f t="shared" ref="M13:M19" si="7">K13/I13</f>
        <v>1</v>
      </c>
      <c r="O13" s="9" t="s">
        <v>2</v>
      </c>
      <c r="P13" s="1">
        <v>22.0</v>
      </c>
      <c r="Q13" s="1">
        <v>11.0</v>
      </c>
      <c r="R13" s="1">
        <v>11.0</v>
      </c>
      <c r="S13" s="7">
        <f t="shared" ref="S13:S19" si="8">Q13/P13</f>
        <v>0.5</v>
      </c>
      <c r="T13" s="7">
        <f t="shared" ref="T13:T19" si="9">R13/P13</f>
        <v>0.5</v>
      </c>
    </row>
    <row r="14" ht="15.75" customHeight="1">
      <c r="A14" s="8" t="s">
        <v>4</v>
      </c>
      <c r="B14" s="3">
        <v>1.0</v>
      </c>
      <c r="C14" s="3">
        <v>1.0</v>
      </c>
      <c r="D14" s="3">
        <v>0.0</v>
      </c>
      <c r="E14" s="6">
        <f t="shared" si="4"/>
        <v>1</v>
      </c>
      <c r="F14" s="6">
        <f t="shared" si="5"/>
        <v>0</v>
      </c>
      <c r="H14" s="9" t="s">
        <v>4</v>
      </c>
      <c r="I14" s="1">
        <v>0.0</v>
      </c>
      <c r="J14" s="1">
        <v>0.0</v>
      </c>
      <c r="K14" s="1">
        <v>0.0</v>
      </c>
      <c r="L14" s="7" t="str">
        <f t="shared" si="6"/>
        <v>#DIV/0!</v>
      </c>
      <c r="M14" s="7" t="str">
        <f t="shared" si="7"/>
        <v>#DIV/0!</v>
      </c>
      <c r="O14" s="9" t="s">
        <v>4</v>
      </c>
      <c r="P14" s="1">
        <v>2.0</v>
      </c>
      <c r="Q14" s="1">
        <v>2.0</v>
      </c>
      <c r="R14" s="1">
        <v>0.0</v>
      </c>
      <c r="S14" s="7">
        <f t="shared" si="8"/>
        <v>1</v>
      </c>
      <c r="T14" s="7">
        <f t="shared" si="9"/>
        <v>0</v>
      </c>
    </row>
    <row r="15" ht="15.75" customHeight="1">
      <c r="A15" s="8" t="s">
        <v>6</v>
      </c>
      <c r="B15" s="3">
        <v>136.0</v>
      </c>
      <c r="C15" s="3">
        <v>44.0</v>
      </c>
      <c r="D15" s="3">
        <v>92.0</v>
      </c>
      <c r="E15" s="6">
        <f t="shared" si="4"/>
        <v>0.3235294118</v>
      </c>
      <c r="F15" s="6">
        <f t="shared" si="5"/>
        <v>0.6764705882</v>
      </c>
      <c r="H15" s="9" t="s">
        <v>6</v>
      </c>
      <c r="I15" s="1">
        <v>68.0</v>
      </c>
      <c r="J15" s="1">
        <v>8.0</v>
      </c>
      <c r="K15" s="1">
        <v>60.0</v>
      </c>
      <c r="L15" s="7">
        <f t="shared" si="6"/>
        <v>0.1176470588</v>
      </c>
      <c r="M15" s="7">
        <f t="shared" si="7"/>
        <v>0.8823529412</v>
      </c>
      <c r="O15" s="9" t="s">
        <v>6</v>
      </c>
      <c r="P15" s="1">
        <v>118.0</v>
      </c>
      <c r="Q15" s="1">
        <v>33.0</v>
      </c>
      <c r="R15" s="1">
        <v>85.0</v>
      </c>
      <c r="S15" s="7">
        <f t="shared" si="8"/>
        <v>0.2796610169</v>
      </c>
      <c r="T15" s="7">
        <f t="shared" si="9"/>
        <v>0.7203389831</v>
      </c>
    </row>
    <row r="16" ht="15.75" customHeight="1">
      <c r="A16" s="8" t="s">
        <v>8</v>
      </c>
      <c r="B16" s="3">
        <v>16.0</v>
      </c>
      <c r="C16" s="3">
        <v>3.0</v>
      </c>
      <c r="D16" s="3">
        <v>13.0</v>
      </c>
      <c r="E16" s="6">
        <f t="shared" si="4"/>
        <v>0.1875</v>
      </c>
      <c r="F16" s="6">
        <f t="shared" si="5"/>
        <v>0.8125</v>
      </c>
      <c r="H16" s="9" t="s">
        <v>8</v>
      </c>
      <c r="I16" s="1">
        <v>9.0</v>
      </c>
      <c r="J16" s="1">
        <v>1.0</v>
      </c>
      <c r="K16" s="1">
        <v>8.0</v>
      </c>
      <c r="L16" s="7">
        <f t="shared" si="6"/>
        <v>0.1111111111</v>
      </c>
      <c r="M16" s="7">
        <f t="shared" si="7"/>
        <v>0.8888888889</v>
      </c>
      <c r="O16" s="9" t="s">
        <v>8</v>
      </c>
      <c r="P16" s="1">
        <v>16.0</v>
      </c>
      <c r="Q16" s="1">
        <v>4.0</v>
      </c>
      <c r="R16" s="1">
        <v>12.0</v>
      </c>
      <c r="S16" s="7">
        <f t="shared" si="8"/>
        <v>0.25</v>
      </c>
      <c r="T16" s="7">
        <f t="shared" si="9"/>
        <v>0.75</v>
      </c>
    </row>
    <row r="17" ht="15.75" customHeight="1">
      <c r="A17" s="8" t="s">
        <v>9</v>
      </c>
      <c r="B17" s="3">
        <v>0.0</v>
      </c>
      <c r="C17" s="3">
        <v>0.0</v>
      </c>
      <c r="D17" s="3">
        <v>0.0</v>
      </c>
      <c r="E17" s="6" t="str">
        <f t="shared" si="4"/>
        <v>#DIV/0!</v>
      </c>
      <c r="F17" s="6" t="str">
        <f t="shared" si="5"/>
        <v>#DIV/0!</v>
      </c>
      <c r="H17" s="9" t="s">
        <v>9</v>
      </c>
      <c r="I17" s="1">
        <v>0.0</v>
      </c>
      <c r="J17" s="1">
        <v>0.0</v>
      </c>
      <c r="K17" s="1">
        <v>0.0</v>
      </c>
      <c r="L17" s="7" t="str">
        <f t="shared" si="6"/>
        <v>#DIV/0!</v>
      </c>
      <c r="M17" s="7" t="str">
        <f t="shared" si="7"/>
        <v>#DIV/0!</v>
      </c>
      <c r="O17" s="9" t="s">
        <v>9</v>
      </c>
      <c r="P17" s="1">
        <v>1.0</v>
      </c>
      <c r="Q17" s="1">
        <v>1.0</v>
      </c>
      <c r="R17" s="1">
        <v>0.0</v>
      </c>
      <c r="S17" s="7">
        <f t="shared" si="8"/>
        <v>1</v>
      </c>
      <c r="T17" s="7">
        <f t="shared" si="9"/>
        <v>0</v>
      </c>
    </row>
    <row r="18" ht="15.75" customHeight="1">
      <c r="A18" s="8" t="s">
        <v>46</v>
      </c>
      <c r="B18" s="3">
        <v>4.0</v>
      </c>
      <c r="C18" s="3">
        <v>1.0</v>
      </c>
      <c r="D18" s="3">
        <v>3.0</v>
      </c>
      <c r="E18" s="6">
        <f t="shared" si="4"/>
        <v>0.25</v>
      </c>
      <c r="F18" s="6">
        <f t="shared" si="5"/>
        <v>0.75</v>
      </c>
      <c r="H18" s="9" t="s">
        <v>46</v>
      </c>
      <c r="I18" s="1">
        <v>5.0</v>
      </c>
      <c r="J18" s="1">
        <v>0.0</v>
      </c>
      <c r="K18" s="1">
        <v>5.0</v>
      </c>
      <c r="L18" s="7">
        <f t="shared" si="6"/>
        <v>0</v>
      </c>
      <c r="M18" s="7">
        <f t="shared" si="7"/>
        <v>1</v>
      </c>
      <c r="O18" s="9" t="s">
        <v>46</v>
      </c>
      <c r="P18" s="1">
        <v>4.0</v>
      </c>
      <c r="Q18" s="1">
        <v>1.0</v>
      </c>
      <c r="R18" s="1">
        <v>3.0</v>
      </c>
      <c r="S18" s="7">
        <f t="shared" si="8"/>
        <v>0.25</v>
      </c>
      <c r="T18" s="7">
        <f t="shared" si="9"/>
        <v>0.75</v>
      </c>
    </row>
    <row r="19" ht="15.75" customHeight="1">
      <c r="A19" s="8" t="s">
        <v>11</v>
      </c>
      <c r="B19" s="3">
        <v>155.0</v>
      </c>
      <c r="C19" s="3">
        <v>103.0</v>
      </c>
      <c r="D19" s="3">
        <v>52.0</v>
      </c>
      <c r="E19" s="6">
        <f t="shared" si="4"/>
        <v>0.664516129</v>
      </c>
      <c r="F19" s="6">
        <f t="shared" si="5"/>
        <v>0.335483871</v>
      </c>
      <c r="H19" s="9" t="s">
        <v>11</v>
      </c>
      <c r="I19" s="1">
        <v>83.0</v>
      </c>
      <c r="J19" s="1">
        <v>39.0</v>
      </c>
      <c r="K19" s="1">
        <v>44.0</v>
      </c>
      <c r="L19" s="7">
        <f t="shared" si="6"/>
        <v>0.4698795181</v>
      </c>
      <c r="M19" s="7">
        <f t="shared" si="7"/>
        <v>0.5301204819</v>
      </c>
      <c r="O19" s="9" t="s">
        <v>11</v>
      </c>
      <c r="P19" s="1">
        <v>169.0</v>
      </c>
      <c r="Q19" s="1">
        <v>103.0</v>
      </c>
      <c r="R19" s="1">
        <v>66.0</v>
      </c>
      <c r="S19" s="7">
        <f t="shared" si="8"/>
        <v>0.6094674556</v>
      </c>
      <c r="T19" s="7">
        <f t="shared" si="9"/>
        <v>0.3905325444</v>
      </c>
    </row>
    <row r="20" ht="15.75" customHeight="1"/>
    <row r="21" ht="15.75" customHeight="1"/>
    <row r="22" ht="15.75" customHeight="1">
      <c r="A22" s="5" t="s">
        <v>47</v>
      </c>
      <c r="H22" s="5" t="s">
        <v>48</v>
      </c>
      <c r="O22" s="5" t="s">
        <v>49</v>
      </c>
    </row>
    <row r="23" ht="15.75" customHeight="1"/>
    <row r="24" ht="15.75" customHeight="1">
      <c r="A24" s="1" t="s">
        <v>20</v>
      </c>
      <c r="B24" s="1" t="s">
        <v>1</v>
      </c>
      <c r="C24" s="1" t="s">
        <v>12</v>
      </c>
      <c r="D24" s="1" t="s">
        <v>15</v>
      </c>
      <c r="E24" s="1" t="s">
        <v>17</v>
      </c>
      <c r="F24" s="1" t="s">
        <v>19</v>
      </c>
      <c r="H24" s="1" t="s">
        <v>20</v>
      </c>
      <c r="I24" s="1" t="s">
        <v>1</v>
      </c>
      <c r="J24" s="1" t="s">
        <v>12</v>
      </c>
      <c r="K24" s="1" t="s">
        <v>15</v>
      </c>
      <c r="L24" s="1" t="s">
        <v>17</v>
      </c>
      <c r="M24" s="1" t="s">
        <v>19</v>
      </c>
      <c r="O24" s="1" t="s">
        <v>20</v>
      </c>
      <c r="P24" s="1" t="s">
        <v>1</v>
      </c>
      <c r="Q24" s="1" t="s">
        <v>12</v>
      </c>
      <c r="R24" s="1" t="s">
        <v>15</v>
      </c>
      <c r="S24" s="1" t="s">
        <v>17</v>
      </c>
      <c r="T24" s="1" t="s">
        <v>19</v>
      </c>
    </row>
    <row r="25" ht="15.75" customHeight="1">
      <c r="A25" s="9" t="s">
        <v>2</v>
      </c>
      <c r="B25" s="1">
        <v>35.0</v>
      </c>
      <c r="C25" s="1">
        <v>21.0</v>
      </c>
      <c r="D25" s="1">
        <v>14.0</v>
      </c>
      <c r="E25" s="7">
        <f t="shared" ref="E25:E31" si="10">C25/B25</f>
        <v>0.6</v>
      </c>
      <c r="F25" s="7">
        <f t="shared" ref="F25:F31" si="11">D25/B25</f>
        <v>0.4</v>
      </c>
      <c r="H25" s="9" t="s">
        <v>2</v>
      </c>
      <c r="I25" s="1">
        <v>23.0</v>
      </c>
      <c r="J25" s="1">
        <v>8.0</v>
      </c>
      <c r="K25" s="1">
        <v>15.0</v>
      </c>
      <c r="L25" s="7">
        <f t="shared" ref="L25:L31" si="12">J25/I25</f>
        <v>0.347826087</v>
      </c>
      <c r="M25" s="7">
        <f t="shared" ref="M25:M31" si="13">K25/I25</f>
        <v>0.652173913</v>
      </c>
      <c r="O25" s="9" t="s">
        <v>2</v>
      </c>
      <c r="P25" s="1">
        <v>18.0</v>
      </c>
      <c r="Q25" s="1">
        <v>0.0</v>
      </c>
      <c r="R25" s="1">
        <v>18.0</v>
      </c>
      <c r="S25" s="7">
        <f t="shared" ref="S25:S31" si="14">Q25/P25</f>
        <v>0</v>
      </c>
      <c r="T25" s="7">
        <f t="shared" ref="T25:T31" si="15">R25/P25</f>
        <v>1</v>
      </c>
    </row>
    <row r="26" ht="15.75" customHeight="1">
      <c r="A26" s="9" t="s">
        <v>4</v>
      </c>
      <c r="B26" s="1">
        <v>7.0</v>
      </c>
      <c r="C26" s="1">
        <v>7.0</v>
      </c>
      <c r="D26" s="1">
        <v>0.0</v>
      </c>
      <c r="E26" s="7">
        <f t="shared" si="10"/>
        <v>1</v>
      </c>
      <c r="F26" s="7">
        <f t="shared" si="11"/>
        <v>0</v>
      </c>
      <c r="H26" s="9" t="s">
        <v>4</v>
      </c>
      <c r="I26" s="1">
        <v>5.0</v>
      </c>
      <c r="J26" s="1">
        <v>4.0</v>
      </c>
      <c r="K26" s="1">
        <v>1.0</v>
      </c>
      <c r="L26" s="7">
        <f t="shared" si="12"/>
        <v>0.8</v>
      </c>
      <c r="M26" s="7">
        <f t="shared" si="13"/>
        <v>0.2</v>
      </c>
      <c r="O26" s="9" t="s">
        <v>4</v>
      </c>
      <c r="P26" s="1">
        <v>4.0</v>
      </c>
      <c r="Q26" s="1">
        <v>4.0</v>
      </c>
      <c r="R26" s="1">
        <v>0.0</v>
      </c>
      <c r="S26" s="7">
        <f t="shared" si="14"/>
        <v>1</v>
      </c>
      <c r="T26" s="7">
        <f t="shared" si="15"/>
        <v>0</v>
      </c>
    </row>
    <row r="27" ht="15.75" customHeight="1">
      <c r="A27" s="9" t="s">
        <v>6</v>
      </c>
      <c r="B27" s="1">
        <v>112.0</v>
      </c>
      <c r="C27" s="1">
        <v>40.0</v>
      </c>
      <c r="D27" s="1">
        <v>72.0</v>
      </c>
      <c r="E27" s="7">
        <f t="shared" si="10"/>
        <v>0.3571428571</v>
      </c>
      <c r="F27" s="7">
        <f t="shared" si="11"/>
        <v>0.6428571429</v>
      </c>
      <c r="H27" s="9" t="s">
        <v>6</v>
      </c>
      <c r="I27" s="1">
        <v>110.0</v>
      </c>
      <c r="J27" s="1">
        <v>30.0</v>
      </c>
      <c r="K27" s="1">
        <v>80.0</v>
      </c>
      <c r="L27" s="7">
        <f t="shared" si="12"/>
        <v>0.2727272727</v>
      </c>
      <c r="M27" s="7">
        <f t="shared" si="13"/>
        <v>0.7272727273</v>
      </c>
      <c r="O27" s="9" t="s">
        <v>6</v>
      </c>
      <c r="P27" s="1">
        <v>117.0</v>
      </c>
      <c r="Q27" s="1">
        <v>50.0</v>
      </c>
      <c r="R27" s="1">
        <v>67.0</v>
      </c>
      <c r="S27" s="7">
        <f t="shared" si="14"/>
        <v>0.4273504274</v>
      </c>
      <c r="T27" s="7">
        <f t="shared" si="15"/>
        <v>0.5726495726</v>
      </c>
    </row>
    <row r="28" ht="15.75" customHeight="1">
      <c r="A28" s="9" t="s">
        <v>8</v>
      </c>
      <c r="B28" s="1">
        <v>29.0</v>
      </c>
      <c r="C28" s="1">
        <v>12.0</v>
      </c>
      <c r="D28" s="1">
        <v>17.0</v>
      </c>
      <c r="E28" s="7">
        <f t="shared" si="10"/>
        <v>0.4137931034</v>
      </c>
      <c r="F28" s="7">
        <f t="shared" si="11"/>
        <v>0.5862068966</v>
      </c>
      <c r="H28" s="9" t="s">
        <v>8</v>
      </c>
      <c r="I28" s="1">
        <v>73.0</v>
      </c>
      <c r="J28" s="1">
        <v>51.0</v>
      </c>
      <c r="K28" s="1">
        <v>22.0</v>
      </c>
      <c r="L28" s="7">
        <f t="shared" si="12"/>
        <v>0.698630137</v>
      </c>
      <c r="M28" s="7">
        <f t="shared" si="13"/>
        <v>0.301369863</v>
      </c>
      <c r="O28" s="9" t="s">
        <v>8</v>
      </c>
      <c r="P28" s="1">
        <v>102.0</v>
      </c>
      <c r="Q28" s="1">
        <v>63.0</v>
      </c>
      <c r="R28" s="1">
        <v>39.0</v>
      </c>
      <c r="S28" s="7">
        <f t="shared" si="14"/>
        <v>0.6176470588</v>
      </c>
      <c r="T28" s="7">
        <f t="shared" si="15"/>
        <v>0.3823529412</v>
      </c>
    </row>
    <row r="29" ht="15.75" customHeight="1">
      <c r="A29" s="9" t="s">
        <v>9</v>
      </c>
      <c r="B29" s="1">
        <v>2.0</v>
      </c>
      <c r="C29" s="1">
        <v>1.0</v>
      </c>
      <c r="D29" s="1">
        <v>1.0</v>
      </c>
      <c r="E29" s="7">
        <f t="shared" si="10"/>
        <v>0.5</v>
      </c>
      <c r="F29" s="7">
        <f t="shared" si="11"/>
        <v>0.5</v>
      </c>
      <c r="H29" s="9" t="s">
        <v>9</v>
      </c>
      <c r="I29" s="1">
        <v>3.0</v>
      </c>
      <c r="J29" s="1">
        <v>1.0</v>
      </c>
      <c r="K29" s="1">
        <v>2.0</v>
      </c>
      <c r="L29" s="7">
        <f t="shared" si="12"/>
        <v>0.3333333333</v>
      </c>
      <c r="M29" s="7">
        <f t="shared" si="13"/>
        <v>0.6666666667</v>
      </c>
      <c r="O29" s="9" t="s">
        <v>9</v>
      </c>
      <c r="P29" s="1">
        <v>7.0</v>
      </c>
      <c r="Q29" s="1">
        <v>4.0</v>
      </c>
      <c r="R29" s="1">
        <v>3.0</v>
      </c>
      <c r="S29" s="7">
        <f t="shared" si="14"/>
        <v>0.5714285714</v>
      </c>
      <c r="T29" s="7">
        <f t="shared" si="15"/>
        <v>0.4285714286</v>
      </c>
    </row>
    <row r="30" ht="15.75" customHeight="1">
      <c r="A30" s="9" t="s">
        <v>46</v>
      </c>
      <c r="B30" s="1">
        <v>7.0</v>
      </c>
      <c r="C30" s="1">
        <v>3.0</v>
      </c>
      <c r="D30" s="1">
        <v>4.0</v>
      </c>
      <c r="E30" s="7">
        <f t="shared" si="10"/>
        <v>0.4285714286</v>
      </c>
      <c r="F30" s="7">
        <f t="shared" si="11"/>
        <v>0.5714285714</v>
      </c>
      <c r="H30" s="9" t="s">
        <v>46</v>
      </c>
      <c r="I30" s="1">
        <v>4.0</v>
      </c>
      <c r="J30" s="1">
        <v>0.0</v>
      </c>
      <c r="K30" s="1">
        <v>4.0</v>
      </c>
      <c r="L30" s="7">
        <f t="shared" si="12"/>
        <v>0</v>
      </c>
      <c r="M30" s="7">
        <f t="shared" si="13"/>
        <v>1</v>
      </c>
      <c r="O30" s="9" t="s">
        <v>46</v>
      </c>
      <c r="P30" s="1">
        <v>4.0</v>
      </c>
      <c r="Q30" s="1">
        <v>0.0</v>
      </c>
      <c r="R30" s="1">
        <v>4.0</v>
      </c>
      <c r="S30" s="7">
        <f t="shared" si="14"/>
        <v>0</v>
      </c>
      <c r="T30" s="7">
        <f t="shared" si="15"/>
        <v>1</v>
      </c>
    </row>
    <row r="31" ht="15.75" customHeight="1">
      <c r="A31" s="9" t="s">
        <v>11</v>
      </c>
      <c r="B31" s="1">
        <v>118.0</v>
      </c>
      <c r="C31" s="1">
        <v>42.0</v>
      </c>
      <c r="D31" s="1">
        <v>76.0</v>
      </c>
      <c r="E31" s="7">
        <f t="shared" si="10"/>
        <v>0.3559322034</v>
      </c>
      <c r="F31" s="7">
        <f t="shared" si="11"/>
        <v>0.6440677966</v>
      </c>
      <c r="H31" s="9" t="s">
        <v>11</v>
      </c>
      <c r="I31" s="1">
        <v>56.0</v>
      </c>
      <c r="J31" s="1">
        <v>0.0</v>
      </c>
      <c r="K31" s="1">
        <v>56.0</v>
      </c>
      <c r="L31" s="7">
        <f t="shared" si="12"/>
        <v>0</v>
      </c>
      <c r="M31" s="7">
        <f t="shared" si="13"/>
        <v>1</v>
      </c>
      <c r="O31" s="9" t="s">
        <v>11</v>
      </c>
      <c r="P31" s="1">
        <v>38.0</v>
      </c>
      <c r="Q31" s="1">
        <v>0.0</v>
      </c>
      <c r="R31" s="1">
        <v>38.0</v>
      </c>
      <c r="S31" s="7">
        <f t="shared" si="14"/>
        <v>0</v>
      </c>
      <c r="T31" s="7">
        <f t="shared" si="15"/>
        <v>1</v>
      </c>
    </row>
    <row r="32" ht="15.75" customHeight="1">
      <c r="S32" s="1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</row>
    <row r="2" ht="15.75" customHeight="1">
      <c r="A2" s="1" t="s">
        <v>14</v>
      </c>
      <c r="B2" s="1">
        <v>7.0</v>
      </c>
      <c r="C2" s="1">
        <v>1.0</v>
      </c>
      <c r="D2" s="1">
        <v>44.0</v>
      </c>
      <c r="E2" s="1">
        <v>3.0</v>
      </c>
      <c r="F2" s="1">
        <v>0.0</v>
      </c>
      <c r="G2" s="1">
        <v>1.0</v>
      </c>
      <c r="H2" s="1">
        <v>103.0</v>
      </c>
    </row>
    <row r="3" ht="15.75" customHeight="1">
      <c r="A3" s="1" t="s">
        <v>22</v>
      </c>
      <c r="B3" s="1">
        <v>0.0</v>
      </c>
      <c r="C3" s="1">
        <v>0.0</v>
      </c>
      <c r="D3" s="1">
        <v>8.0</v>
      </c>
      <c r="E3" s="1">
        <v>1.0</v>
      </c>
      <c r="F3" s="1">
        <v>0.0</v>
      </c>
      <c r="G3" s="1">
        <v>0.0</v>
      </c>
      <c r="H3" s="1">
        <v>39.0</v>
      </c>
    </row>
    <row r="4" ht="15.75" customHeight="1">
      <c r="A4" s="1" t="s">
        <v>23</v>
      </c>
      <c r="B4" s="1">
        <v>11.0</v>
      </c>
      <c r="C4" s="1">
        <v>2.0</v>
      </c>
      <c r="D4" s="1">
        <v>33.0</v>
      </c>
      <c r="E4" s="1">
        <v>4.0</v>
      </c>
      <c r="F4" s="1">
        <v>1.0</v>
      </c>
      <c r="G4" s="1">
        <v>1.0</v>
      </c>
      <c r="H4" s="1">
        <v>103.0</v>
      </c>
    </row>
    <row r="5" ht="15.75" customHeight="1">
      <c r="A5" s="1" t="s">
        <v>24</v>
      </c>
      <c r="B5" s="1">
        <v>21.0</v>
      </c>
      <c r="C5" s="1">
        <v>7.0</v>
      </c>
      <c r="D5" s="1">
        <v>40.0</v>
      </c>
      <c r="E5" s="1">
        <v>12.0</v>
      </c>
      <c r="F5" s="1">
        <v>1.0</v>
      </c>
      <c r="G5" s="1">
        <v>3.0</v>
      </c>
      <c r="H5" s="1">
        <v>42.0</v>
      </c>
    </row>
    <row r="6" ht="15.75" customHeight="1">
      <c r="A6" s="1" t="s">
        <v>26</v>
      </c>
      <c r="B6" s="1">
        <v>8.0</v>
      </c>
      <c r="C6" s="1">
        <v>4.0</v>
      </c>
      <c r="D6" s="1">
        <v>30.0</v>
      </c>
      <c r="E6" s="1">
        <v>51.0</v>
      </c>
      <c r="F6" s="1">
        <v>1.0</v>
      </c>
      <c r="G6" s="1">
        <v>0.0</v>
      </c>
      <c r="H6" s="1">
        <v>0.0</v>
      </c>
    </row>
    <row r="7" ht="15.75" customHeight="1">
      <c r="A7" s="1" t="s">
        <v>29</v>
      </c>
      <c r="B7" s="1">
        <v>0.0</v>
      </c>
      <c r="C7" s="1">
        <v>4.0</v>
      </c>
      <c r="D7" s="1">
        <v>50.0</v>
      </c>
      <c r="E7" s="1">
        <v>63.0</v>
      </c>
      <c r="F7" s="1">
        <v>4.0</v>
      </c>
      <c r="G7" s="1">
        <v>0.0</v>
      </c>
      <c r="H7" s="1">
        <v>0.0</v>
      </c>
    </row>
    <row r="8" ht="15.75" customHeight="1"/>
    <row r="9" ht="15.75" customHeight="1"/>
    <row r="10" ht="15.75" customHeight="1">
      <c r="A10" s="5" t="s">
        <v>0</v>
      </c>
      <c r="B10" s="5" t="s">
        <v>2</v>
      </c>
      <c r="C10" s="5" t="s">
        <v>4</v>
      </c>
      <c r="D10" s="5" t="s">
        <v>6</v>
      </c>
      <c r="E10" s="5" t="s">
        <v>8</v>
      </c>
      <c r="F10" s="5" t="s">
        <v>9</v>
      </c>
      <c r="G10" s="5" t="s">
        <v>10</v>
      </c>
      <c r="H10" s="5" t="s">
        <v>11</v>
      </c>
      <c r="I10" s="5" t="s">
        <v>1</v>
      </c>
    </row>
    <row r="11" ht="15.75" customHeight="1">
      <c r="A11" s="5" t="s">
        <v>14</v>
      </c>
      <c r="B11" s="5">
        <v>7.0</v>
      </c>
      <c r="C11" s="5">
        <v>1.0</v>
      </c>
      <c r="D11" s="5">
        <v>44.0</v>
      </c>
      <c r="E11" s="5">
        <v>3.0</v>
      </c>
      <c r="F11" s="5">
        <v>0.0</v>
      </c>
      <c r="G11" s="5">
        <v>1.0</v>
      </c>
      <c r="H11" s="5">
        <v>103.0</v>
      </c>
      <c r="I11" s="5">
        <f t="shared" ref="I11:I16" si="1">SUM(B11:H11)</f>
        <v>159</v>
      </c>
    </row>
    <row r="12" ht="15.75" customHeight="1">
      <c r="A12" s="5" t="s">
        <v>22</v>
      </c>
      <c r="B12" s="5">
        <v>0.0</v>
      </c>
      <c r="C12" s="5">
        <v>0.0</v>
      </c>
      <c r="D12" s="5">
        <v>8.0</v>
      </c>
      <c r="E12" s="5">
        <v>1.0</v>
      </c>
      <c r="F12" s="5">
        <v>0.0</v>
      </c>
      <c r="G12" s="5">
        <v>0.0</v>
      </c>
      <c r="H12" s="5">
        <v>39.0</v>
      </c>
      <c r="I12" s="5">
        <f t="shared" si="1"/>
        <v>48</v>
      </c>
    </row>
    <row r="13" ht="15.75" customHeight="1">
      <c r="A13" s="5" t="s">
        <v>23</v>
      </c>
      <c r="B13" s="5">
        <v>11.0</v>
      </c>
      <c r="C13" s="5">
        <v>2.0</v>
      </c>
      <c r="D13" s="5">
        <v>33.0</v>
      </c>
      <c r="E13" s="5">
        <v>4.0</v>
      </c>
      <c r="F13" s="5">
        <v>1.0</v>
      </c>
      <c r="G13" s="5">
        <v>1.0</v>
      </c>
      <c r="H13" s="5">
        <v>103.0</v>
      </c>
      <c r="I13" s="5">
        <f t="shared" si="1"/>
        <v>155</v>
      </c>
    </row>
    <row r="14" ht="15.75" customHeight="1">
      <c r="A14" s="5" t="s">
        <v>24</v>
      </c>
      <c r="B14" s="5">
        <v>21.0</v>
      </c>
      <c r="C14" s="5">
        <v>7.0</v>
      </c>
      <c r="D14" s="5">
        <v>40.0</v>
      </c>
      <c r="E14" s="5">
        <v>12.0</v>
      </c>
      <c r="F14" s="5">
        <v>1.0</v>
      </c>
      <c r="G14" s="5">
        <v>3.0</v>
      </c>
      <c r="H14" s="5">
        <v>42.0</v>
      </c>
      <c r="I14" s="5">
        <f t="shared" si="1"/>
        <v>126</v>
      </c>
    </row>
    <row r="15" ht="15.75" customHeight="1">
      <c r="A15" s="5" t="s">
        <v>26</v>
      </c>
      <c r="B15" s="5">
        <v>8.0</v>
      </c>
      <c r="C15" s="5">
        <v>4.0</v>
      </c>
      <c r="D15" s="5">
        <v>30.0</v>
      </c>
      <c r="E15" s="5">
        <v>51.0</v>
      </c>
      <c r="F15" s="5">
        <v>1.0</v>
      </c>
      <c r="G15" s="5">
        <v>0.0</v>
      </c>
      <c r="H15" s="5">
        <v>0.0</v>
      </c>
      <c r="I15" s="5">
        <f t="shared" si="1"/>
        <v>94</v>
      </c>
    </row>
    <row r="16" ht="15.75" customHeight="1">
      <c r="A16" s="5" t="s">
        <v>29</v>
      </c>
      <c r="B16" s="5">
        <v>0.0</v>
      </c>
      <c r="C16" s="5">
        <v>4.0</v>
      </c>
      <c r="D16" s="5">
        <v>50.0</v>
      </c>
      <c r="E16" s="5">
        <v>63.0</v>
      </c>
      <c r="F16" s="5">
        <v>4.0</v>
      </c>
      <c r="G16" s="5">
        <v>0.0</v>
      </c>
      <c r="H16" s="5">
        <v>0.0</v>
      </c>
      <c r="I16" s="5">
        <f t="shared" si="1"/>
        <v>121</v>
      </c>
    </row>
    <row r="17" ht="15.75" customHeight="1"/>
    <row r="18" ht="15.75" customHeight="1"/>
    <row r="19" ht="15.75" customHeight="1">
      <c r="A19" s="1" t="s">
        <v>0</v>
      </c>
      <c r="B19" s="1" t="s">
        <v>2</v>
      </c>
      <c r="C19" s="1" t="s">
        <v>4</v>
      </c>
      <c r="D19" s="1" t="s">
        <v>6</v>
      </c>
      <c r="E19" s="1" t="s">
        <v>8</v>
      </c>
      <c r="F19" s="1" t="s">
        <v>9</v>
      </c>
      <c r="G19" s="1" t="s">
        <v>10</v>
      </c>
      <c r="H19" s="1" t="s">
        <v>11</v>
      </c>
    </row>
    <row r="20" ht="15.75" customHeight="1">
      <c r="A20" s="1" t="s">
        <v>14</v>
      </c>
      <c r="B20" s="7">
        <f t="shared" ref="B20:B25" si="2">B11/I11</f>
        <v>0.04402515723</v>
      </c>
      <c r="C20" s="7">
        <f t="shared" ref="C20:C25" si="3">C11/I11</f>
        <v>0.006289308176</v>
      </c>
      <c r="D20" s="7">
        <f t="shared" ref="D20:D25" si="4">D11/I11</f>
        <v>0.2767295597</v>
      </c>
      <c r="E20" s="7">
        <f t="shared" ref="E20:E25" si="5">E11/I11</f>
        <v>0.01886792453</v>
      </c>
      <c r="F20" s="7">
        <f t="shared" ref="F20:F25" si="6">F11/I11</f>
        <v>0</v>
      </c>
      <c r="G20" s="7">
        <f t="shared" ref="G20:G25" si="7">G11/I11</f>
        <v>0.006289308176</v>
      </c>
      <c r="H20" s="7">
        <f t="shared" ref="H20:H25" si="8">H11/I11</f>
        <v>0.6477987421</v>
      </c>
    </row>
    <row r="21" ht="15.75" customHeight="1">
      <c r="A21" s="1" t="s">
        <v>22</v>
      </c>
      <c r="B21" s="7">
        <f t="shared" si="2"/>
        <v>0</v>
      </c>
      <c r="C21" s="7">
        <f t="shared" si="3"/>
        <v>0</v>
      </c>
      <c r="D21" s="7">
        <f t="shared" si="4"/>
        <v>0.1666666667</v>
      </c>
      <c r="E21" s="7">
        <f t="shared" si="5"/>
        <v>0.02083333333</v>
      </c>
      <c r="F21" s="7">
        <f t="shared" si="6"/>
        <v>0</v>
      </c>
      <c r="G21" s="7">
        <f t="shared" si="7"/>
        <v>0</v>
      </c>
      <c r="H21" s="7">
        <f t="shared" si="8"/>
        <v>0.8125</v>
      </c>
    </row>
    <row r="22" ht="15.75" customHeight="1">
      <c r="A22" s="1" t="s">
        <v>23</v>
      </c>
      <c r="B22" s="7">
        <f t="shared" si="2"/>
        <v>0.07096774194</v>
      </c>
      <c r="C22" s="7">
        <f t="shared" si="3"/>
        <v>0.01290322581</v>
      </c>
      <c r="D22" s="7">
        <f t="shared" si="4"/>
        <v>0.2129032258</v>
      </c>
      <c r="E22" s="7">
        <f t="shared" si="5"/>
        <v>0.02580645161</v>
      </c>
      <c r="F22" s="7">
        <f t="shared" si="6"/>
        <v>0.006451612903</v>
      </c>
      <c r="G22" s="7">
        <f t="shared" si="7"/>
        <v>0.006451612903</v>
      </c>
      <c r="H22" s="7">
        <f t="shared" si="8"/>
        <v>0.664516129</v>
      </c>
    </row>
    <row r="23" ht="15.75" customHeight="1">
      <c r="A23" s="1" t="s">
        <v>24</v>
      </c>
      <c r="B23" s="7">
        <f t="shared" si="2"/>
        <v>0.1666666667</v>
      </c>
      <c r="C23" s="7">
        <f t="shared" si="3"/>
        <v>0.05555555556</v>
      </c>
      <c r="D23" s="7">
        <f t="shared" si="4"/>
        <v>0.3174603175</v>
      </c>
      <c r="E23" s="7">
        <f t="shared" si="5"/>
        <v>0.09523809524</v>
      </c>
      <c r="F23" s="7">
        <f t="shared" si="6"/>
        <v>0.007936507937</v>
      </c>
      <c r="G23" s="7">
        <f t="shared" si="7"/>
        <v>0.02380952381</v>
      </c>
      <c r="H23" s="7">
        <f t="shared" si="8"/>
        <v>0.3333333333</v>
      </c>
    </row>
    <row r="24" ht="15.75" customHeight="1">
      <c r="A24" s="1" t="s">
        <v>26</v>
      </c>
      <c r="B24" s="7">
        <f t="shared" si="2"/>
        <v>0.08510638298</v>
      </c>
      <c r="C24" s="7">
        <f t="shared" si="3"/>
        <v>0.04255319149</v>
      </c>
      <c r="D24" s="7">
        <f t="shared" si="4"/>
        <v>0.3191489362</v>
      </c>
      <c r="E24" s="7">
        <f t="shared" si="5"/>
        <v>0.5425531915</v>
      </c>
      <c r="F24" s="7">
        <f t="shared" si="6"/>
        <v>0.01063829787</v>
      </c>
      <c r="G24" s="7">
        <f t="shared" si="7"/>
        <v>0</v>
      </c>
      <c r="H24" s="7">
        <f t="shared" si="8"/>
        <v>0</v>
      </c>
    </row>
    <row r="25" ht="15.75" customHeight="1">
      <c r="A25" s="1" t="s">
        <v>29</v>
      </c>
      <c r="B25" s="7">
        <f t="shared" si="2"/>
        <v>0</v>
      </c>
      <c r="C25" s="7">
        <f t="shared" si="3"/>
        <v>0.03305785124</v>
      </c>
      <c r="D25" s="7">
        <f t="shared" si="4"/>
        <v>0.4132231405</v>
      </c>
      <c r="E25" s="7">
        <f t="shared" si="5"/>
        <v>0.520661157</v>
      </c>
      <c r="F25" s="7">
        <f t="shared" si="6"/>
        <v>0.03305785124</v>
      </c>
      <c r="G25" s="7">
        <f t="shared" si="7"/>
        <v>0</v>
      </c>
      <c r="H25" s="7">
        <f t="shared" si="8"/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5" max="5" width="13.5"/>
    <col customWidth="1" min="9" max="9" width="13.5"/>
  </cols>
  <sheetData>
    <row r="1">
      <c r="A1" s="2" t="s">
        <v>1</v>
      </c>
      <c r="B1" s="2" t="s">
        <v>3</v>
      </c>
      <c r="C1" s="2" t="s">
        <v>5</v>
      </c>
      <c r="D1" s="2" t="s">
        <v>7</v>
      </c>
    </row>
    <row r="2">
      <c r="A2" s="2">
        <v>1154.0</v>
      </c>
      <c r="B2" s="2">
        <v>113.0</v>
      </c>
      <c r="C2" s="2">
        <v>227.0</v>
      </c>
      <c r="D2" s="2">
        <v>814.0</v>
      </c>
    </row>
    <row r="5">
      <c r="A5" s="4" t="s">
        <v>13</v>
      </c>
      <c r="E5" s="4" t="s">
        <v>16</v>
      </c>
      <c r="I5" s="4" t="s">
        <v>18</v>
      </c>
    </row>
    <row r="7">
      <c r="A7" s="4" t="s">
        <v>20</v>
      </c>
      <c r="B7" s="4" t="s">
        <v>21</v>
      </c>
      <c r="E7" s="4" t="s">
        <v>20</v>
      </c>
      <c r="F7" s="4" t="s">
        <v>21</v>
      </c>
      <c r="I7" s="4" t="s">
        <v>20</v>
      </c>
      <c r="J7" s="4" t="s">
        <v>21</v>
      </c>
    </row>
    <row r="8">
      <c r="A8" s="4" t="s">
        <v>6</v>
      </c>
      <c r="B8" s="2">
        <v>47.0</v>
      </c>
      <c r="E8" s="4" t="s">
        <v>6</v>
      </c>
      <c r="F8" s="2">
        <v>90.0</v>
      </c>
      <c r="I8" s="4" t="s">
        <v>6</v>
      </c>
      <c r="J8" s="2">
        <v>293.0</v>
      </c>
    </row>
    <row r="9">
      <c r="A9" s="4" t="s">
        <v>9</v>
      </c>
      <c r="B9" s="2">
        <v>5.0</v>
      </c>
      <c r="E9" s="4" t="s">
        <v>9</v>
      </c>
      <c r="F9" s="2">
        <v>6.0</v>
      </c>
      <c r="I9" s="4" t="s">
        <v>2</v>
      </c>
      <c r="J9" s="2">
        <v>52.0</v>
      </c>
    </row>
    <row r="10">
      <c r="A10" s="4" t="s">
        <v>2</v>
      </c>
      <c r="B10" s="2">
        <v>8.0</v>
      </c>
      <c r="E10" s="4" t="s">
        <v>2</v>
      </c>
      <c r="F10" s="2">
        <v>10.0</v>
      </c>
      <c r="I10" s="4" t="s">
        <v>25</v>
      </c>
      <c r="J10" s="2">
        <v>8.0</v>
      </c>
    </row>
    <row r="11">
      <c r="A11" s="4" t="s">
        <v>25</v>
      </c>
      <c r="B11" s="2">
        <v>3.0</v>
      </c>
      <c r="E11" s="4" t="s">
        <v>25</v>
      </c>
      <c r="F11" s="2">
        <v>2.0</v>
      </c>
      <c r="I11" s="4" t="s">
        <v>27</v>
      </c>
      <c r="J11" s="2">
        <v>400.0</v>
      </c>
    </row>
    <row r="12">
      <c r="A12" s="4" t="s">
        <v>28</v>
      </c>
      <c r="B12" s="2">
        <v>24.0</v>
      </c>
      <c r="E12" s="4" t="s">
        <v>27</v>
      </c>
      <c r="F12" s="2">
        <v>30.0</v>
      </c>
      <c r="I12" s="4" t="s">
        <v>8</v>
      </c>
      <c r="J12" s="2">
        <v>47.0</v>
      </c>
    </row>
    <row r="13">
      <c r="A13" s="4" t="s">
        <v>8</v>
      </c>
      <c r="B13" s="2">
        <v>26.0</v>
      </c>
      <c r="E13" s="4" t="s">
        <v>8</v>
      </c>
      <c r="F13" s="2">
        <v>84.0</v>
      </c>
      <c r="I13" s="4" t="s">
        <v>30</v>
      </c>
      <c r="J13" s="2">
        <v>1.0</v>
      </c>
    </row>
    <row r="14">
      <c r="E14" s="4" t="s">
        <v>4</v>
      </c>
      <c r="F14" s="2">
        <v>5.0</v>
      </c>
      <c r="I14" s="4" t="s">
        <v>4</v>
      </c>
      <c r="J14" s="2">
        <v>13.0</v>
      </c>
    </row>
    <row r="18">
      <c r="A18" s="4" t="s">
        <v>31</v>
      </c>
      <c r="D18" s="4" t="s">
        <v>32</v>
      </c>
      <c r="G18" s="4" t="s">
        <v>33</v>
      </c>
      <c r="J18" s="4" t="s">
        <v>34</v>
      </c>
    </row>
    <row r="20">
      <c r="A20" s="4" t="s">
        <v>1</v>
      </c>
      <c r="B20" s="4">
        <v>185.0</v>
      </c>
      <c r="D20" s="4" t="s">
        <v>1</v>
      </c>
      <c r="E20" s="4">
        <v>154.0</v>
      </c>
      <c r="G20" s="4" t="s">
        <v>1</v>
      </c>
      <c r="H20" s="4">
        <v>53.0</v>
      </c>
      <c r="J20" s="4" t="s">
        <v>1</v>
      </c>
      <c r="K20" s="4">
        <v>146.0</v>
      </c>
    </row>
    <row r="21">
      <c r="A21" s="4" t="s">
        <v>3</v>
      </c>
      <c r="B21" s="4">
        <v>0.0</v>
      </c>
      <c r="D21" s="4" t="s">
        <v>3</v>
      </c>
      <c r="E21" s="4">
        <v>0.0</v>
      </c>
      <c r="G21" s="4" t="s">
        <v>3</v>
      </c>
      <c r="H21" s="4">
        <v>0.0</v>
      </c>
      <c r="J21" s="4" t="s">
        <v>3</v>
      </c>
      <c r="K21" s="4">
        <v>0.0</v>
      </c>
    </row>
    <row r="22">
      <c r="A22" s="4" t="s">
        <v>5</v>
      </c>
      <c r="B22" s="4">
        <v>0.0</v>
      </c>
      <c r="D22" s="4" t="s">
        <v>5</v>
      </c>
      <c r="E22" s="4">
        <v>0.0</v>
      </c>
      <c r="G22" s="4" t="s">
        <v>5</v>
      </c>
      <c r="H22" s="4">
        <v>1.0</v>
      </c>
      <c r="J22" s="4" t="s">
        <v>5</v>
      </c>
      <c r="K22" s="4">
        <v>4.0</v>
      </c>
    </row>
    <row r="23">
      <c r="A23" s="4" t="s">
        <v>7</v>
      </c>
      <c r="B23" s="4">
        <v>185.0</v>
      </c>
      <c r="D23" s="4" t="s">
        <v>7</v>
      </c>
      <c r="E23" s="4">
        <v>154.0</v>
      </c>
      <c r="G23" s="4" t="s">
        <v>7</v>
      </c>
      <c r="H23" s="4">
        <v>52.0</v>
      </c>
      <c r="J23" s="4" t="s">
        <v>7</v>
      </c>
      <c r="K23" s="4">
        <v>142.0</v>
      </c>
    </row>
    <row r="26">
      <c r="A26" s="4" t="s">
        <v>35</v>
      </c>
      <c r="D26" s="4" t="s">
        <v>36</v>
      </c>
      <c r="G26" s="4" t="s">
        <v>37</v>
      </c>
      <c r="J26" s="4" t="s">
        <v>38</v>
      </c>
    </row>
    <row r="28">
      <c r="A28" s="4" t="s">
        <v>1</v>
      </c>
      <c r="B28" s="4">
        <v>153.0</v>
      </c>
      <c r="D28" s="4" t="s">
        <v>1</v>
      </c>
      <c r="E28" s="4">
        <v>151.0</v>
      </c>
      <c r="G28" s="4" t="s">
        <v>1</v>
      </c>
      <c r="H28" s="4">
        <v>232.0</v>
      </c>
      <c r="J28" s="4" t="s">
        <v>1</v>
      </c>
      <c r="K28" s="4">
        <v>80.0</v>
      </c>
    </row>
    <row r="29">
      <c r="A29" s="4" t="s">
        <v>3</v>
      </c>
      <c r="B29" s="4">
        <v>5.0</v>
      </c>
      <c r="D29" s="4" t="s">
        <v>3</v>
      </c>
      <c r="E29" s="4">
        <v>10.0</v>
      </c>
      <c r="G29" s="4" t="s">
        <v>3</v>
      </c>
      <c r="H29" s="4">
        <v>35.0</v>
      </c>
      <c r="J29" s="4" t="s">
        <v>3</v>
      </c>
      <c r="K29" s="4">
        <v>63.0</v>
      </c>
    </row>
    <row r="30">
      <c r="A30" s="4" t="s">
        <v>5</v>
      </c>
      <c r="B30" s="4">
        <v>1.0</v>
      </c>
      <c r="D30" s="4" t="s">
        <v>5</v>
      </c>
      <c r="E30" s="4">
        <v>10.0</v>
      </c>
      <c r="G30" s="4" t="s">
        <v>5</v>
      </c>
      <c r="H30" s="4">
        <v>194.0</v>
      </c>
      <c r="J30" s="4" t="s">
        <v>5</v>
      </c>
      <c r="K30" s="4">
        <v>17.0</v>
      </c>
    </row>
    <row r="31">
      <c r="A31" s="4" t="s">
        <v>7</v>
      </c>
      <c r="B31" s="4">
        <v>147.0</v>
      </c>
      <c r="D31" s="4" t="s">
        <v>7</v>
      </c>
      <c r="E31" s="4">
        <v>131.0</v>
      </c>
      <c r="G31" s="4" t="s">
        <v>7</v>
      </c>
      <c r="H31" s="4">
        <v>3.0</v>
      </c>
      <c r="J31" s="4" t="s">
        <v>7</v>
      </c>
      <c r="K31" s="4">
        <v>0.0</v>
      </c>
    </row>
    <row r="33">
      <c r="A33" s="4" t="s">
        <v>39</v>
      </c>
    </row>
    <row r="35">
      <c r="B35" s="4" t="s">
        <v>31</v>
      </c>
      <c r="C35" s="4" t="s">
        <v>32</v>
      </c>
      <c r="D35" s="4" t="s">
        <v>33</v>
      </c>
      <c r="E35" s="4" t="s">
        <v>34</v>
      </c>
      <c r="F35" s="4" t="s">
        <v>35</v>
      </c>
      <c r="G35" s="4" t="s">
        <v>36</v>
      </c>
      <c r="H35" s="4" t="s">
        <v>37</v>
      </c>
      <c r="I35" s="4" t="s">
        <v>38</v>
      </c>
    </row>
    <row r="36">
      <c r="A36" s="4" t="s">
        <v>18</v>
      </c>
      <c r="B36" s="4">
        <v>139.0</v>
      </c>
      <c r="C36" s="4">
        <v>90.0</v>
      </c>
      <c r="D36" s="4">
        <v>36.0</v>
      </c>
      <c r="E36" s="4">
        <v>84.0</v>
      </c>
      <c r="F36" s="4">
        <v>73.0</v>
      </c>
      <c r="G36" s="4">
        <v>58.0</v>
      </c>
      <c r="H36" s="4">
        <v>1.0</v>
      </c>
      <c r="I36" s="4">
        <v>0.0</v>
      </c>
    </row>
    <row r="37">
      <c r="A37" s="4" t="s">
        <v>16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86.0</v>
      </c>
      <c r="I37" s="4">
        <v>1.0</v>
      </c>
    </row>
    <row r="38">
      <c r="A38" s="4" t="s">
        <v>13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10.0</v>
      </c>
    </row>
  </sheetData>
  <drawing r:id="rId1"/>
</worksheet>
</file>